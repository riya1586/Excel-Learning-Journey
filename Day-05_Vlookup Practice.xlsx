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2F61DEA6-E73E-4F7D-AAFA-A3C8BB346D80}" xr6:coauthVersionLast="47" xr6:coauthVersionMax="47" xr10:uidLastSave="{00000000-0000-0000-0000-000000000000}"/>
  <bookViews>
    <workbookView xWindow="2820" yWindow="2820" windowWidth="17280" windowHeight="8880" xr2:uid="{B8814151-98B2-4513-94A1-7BFDF615439E}"/>
  </bookViews>
  <sheets>
    <sheet name="VLOOKUP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F20" i="1"/>
  <c r="G19" i="1"/>
  <c r="F19" i="1"/>
  <c r="G18" i="1"/>
  <c r="F18" i="1"/>
  <c r="D13" i="1"/>
  <c r="C13" i="1"/>
  <c r="B13" i="1"/>
  <c r="D12" i="1"/>
  <c r="C12" i="1"/>
  <c r="B12" i="1"/>
  <c r="D11" i="1"/>
  <c r="C11" i="1"/>
  <c r="B11" i="1"/>
</calcChain>
</file>

<file path=xl/sharedStrings.xml><?xml version="1.0" encoding="utf-8"?>
<sst xmlns="http://schemas.openxmlformats.org/spreadsheetml/2006/main" count="41" uniqueCount="32">
  <si>
    <t>ID</t>
  </si>
  <si>
    <t>NAME</t>
  </si>
  <si>
    <t>DEPARTMENT</t>
  </si>
  <si>
    <t>SALARY</t>
  </si>
  <si>
    <t>RAHUL</t>
  </si>
  <si>
    <t>HR</t>
  </si>
  <si>
    <t>AMAN</t>
  </si>
  <si>
    <t>IT</t>
  </si>
  <si>
    <t>NEHA</t>
  </si>
  <si>
    <t>FINANCE</t>
  </si>
  <si>
    <t>PRIYA</t>
  </si>
  <si>
    <t>MARKETING</t>
  </si>
  <si>
    <t>MOHIT</t>
  </si>
  <si>
    <t>SALES</t>
  </si>
  <si>
    <t xml:space="preserve">USE OF VLOOKUP </t>
  </si>
  <si>
    <t>SEARCH ID</t>
  </si>
  <si>
    <t>MINI CHALLENGE</t>
  </si>
  <si>
    <t>PRODUCT DATABASE</t>
  </si>
  <si>
    <t>SEARCH</t>
  </si>
  <si>
    <t>CODE</t>
  </si>
  <si>
    <t>PRODUCT</t>
  </si>
  <si>
    <t>PRICE</t>
  </si>
  <si>
    <t>P101</t>
  </si>
  <si>
    <t>MOUSE</t>
  </si>
  <si>
    <t>P104</t>
  </si>
  <si>
    <t>P102</t>
  </si>
  <si>
    <t>KEYBOARD</t>
  </si>
  <si>
    <t>P103</t>
  </si>
  <si>
    <t>MONITOR</t>
  </si>
  <si>
    <t>P105</t>
  </si>
  <si>
    <t>LAPTOP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</si>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</sst>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2008D-616F-4EB4-8717-079EEBBC660F}" name="Table17" displayName="Table17" ref="A1:D6" totalsRowShown="0" headerRowDxfId="21" dataDxfId="20">
  <autoFilter ref="A1:D6" xr:uid="{B3812193-72C6-4208-9B51-A315EA36E63E}"/>
  <tableColumns count="4">
    <tableColumn id="1" xr3:uid="{3CF3EA50-0BFE-462B-B43D-514BEC287C57}" name="ID" dataDxfId="19"/>
    <tableColumn id="2" xr3:uid="{82BAA704-B657-4E20-98F6-C71B46B5BE63}" name="NAME" dataDxfId="18"/>
    <tableColumn id="3" xr3:uid="{34FF42C3-6A43-4C7C-B344-EC6D4FE71E8E}" name="DEPARTMENT" dataDxfId="17"/>
    <tableColumn id="4" xr3:uid="{C9B35B49-0B9A-4D91-91B8-6225695BEE10}" name="SALARY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33AB0-CA23-440A-850F-259809DD3F52}" name="Table18" displayName="Table18" ref="A10:D13" totalsRowShown="0" headerRowDxfId="15" dataDxfId="14">
  <autoFilter ref="A10:D13" xr:uid="{1B140819-9959-4B08-B4A1-8669D48AF4D5}"/>
  <tableColumns count="4">
    <tableColumn id="1" xr3:uid="{8D852C73-DC4B-48D1-B32B-87213B1B5289}" name="SEARCH ID" dataDxfId="13"/>
    <tableColumn id="2" xr3:uid="{58939177-4858-407B-A2E1-58B53111CB84}" name="NAME" dataDxfId="12"/>
    <tableColumn id="3" xr3:uid="{E28D7866-6ED1-4F30-8AD1-42B05FEA85FD}" name="DEPARTMENT" dataDxfId="11"/>
    <tableColumn id="4" xr3:uid="{8E52D9C5-9371-4757-886B-B82BA69F925D}" name="SALARY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75788C-0555-4C67-854E-F7C9721D20C3}" name="Table19" displayName="Table19" ref="A17:C22" totalsRowShown="0" headerRowDxfId="9" dataDxfId="8">
  <autoFilter ref="A17:C22" xr:uid="{10A7641A-C078-4D2B-ABFA-1D2D0317578C}"/>
  <tableColumns count="3">
    <tableColumn id="1" xr3:uid="{B1B883BA-2396-458F-9A54-F921366D8D9B}" name="CODE" dataDxfId="7"/>
    <tableColumn id="2" xr3:uid="{A042D85D-B1A8-4000-973F-56F36FCCB3D8}" name="PRODUCT" dataDxfId="6"/>
    <tableColumn id="3" xr3:uid="{3085E729-FA01-4841-9E96-08574876BC5A}" name="PRICE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72DDAA-1190-4A29-A207-DACCCE4A915E}" name="Table20" displayName="Table20" ref="E17:G20" totalsRowShown="0" headerRowDxfId="4" dataDxfId="3">
  <autoFilter ref="E17:G20" xr:uid="{31368341-9807-4283-970D-B45632BF0B02}"/>
  <tableColumns count="3">
    <tableColumn id="1" xr3:uid="{F99915BB-B013-4AAA-9DB1-4A2C5FFAFFD7}" name="CODE" dataDxfId="2"/>
    <tableColumn id="2" xr3:uid="{59DE14EE-E346-47E2-B4AD-3320FCE11334}" name="PRODUCT" dataDxfId="1">
      <calculatedColumnFormula>VLOOKUP(E18,$A$18:$C$22,2,FALSE)</calculatedColumnFormula>
    </tableColumn>
    <tableColumn id="3" xr3:uid="{6495EDA1-5D94-44F9-9F2F-495B704BD337}" name="PRICE" dataDxfId="0">
      <calculatedColumnFormula>VLOOKUP(E18,$A$18:$C$22,3,FALSE)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39E1-93E7-4035-ADB5-9FA19410BEA1}">
  <sheetPr codeName="Sheet9"/>
  <dimension ref="A1:G22"/>
  <sheetViews>
    <sheetView tabSelected="1" workbookViewId="0">
      <selection activeCell="H20" sqref="H20"/>
    </sheetView>
  </sheetViews>
  <sheetFormatPr defaultRowHeight="14.4" x14ac:dyDescent="0.3"/>
  <cols>
    <col min="1" max="1" width="14.33203125" bestFit="1" customWidth="1"/>
    <col min="2" max="2" width="13.6640625" bestFit="1" customWidth="1"/>
    <col min="3" max="3" width="17.21875" bestFit="1" customWidth="1"/>
    <col min="4" max="4" width="11.88671875" bestFit="1" customWidth="1"/>
    <col min="5" max="5" width="10.109375" bestFit="1" customWidth="1"/>
    <col min="6" max="6" width="13.6640625" bestFit="1" customWidth="1"/>
    <col min="7" max="7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1">
        <v>101</v>
      </c>
      <c r="B2" s="1" t="s">
        <v>4</v>
      </c>
      <c r="C2" s="1" t="s">
        <v>5</v>
      </c>
      <c r="D2" s="1">
        <v>45000</v>
      </c>
    </row>
    <row r="3" spans="1:6" x14ac:dyDescent="0.3">
      <c r="A3" s="1">
        <v>102</v>
      </c>
      <c r="B3" s="1" t="s">
        <v>6</v>
      </c>
      <c r="C3" s="1" t="s">
        <v>7</v>
      </c>
      <c r="D3" s="1">
        <v>52000</v>
      </c>
    </row>
    <row r="4" spans="1:6" x14ac:dyDescent="0.3">
      <c r="A4" s="1">
        <v>103</v>
      </c>
      <c r="B4" s="1" t="s">
        <v>8</v>
      </c>
      <c r="C4" s="1" t="s">
        <v>9</v>
      </c>
      <c r="D4" s="1">
        <v>60000</v>
      </c>
    </row>
    <row r="5" spans="1:6" x14ac:dyDescent="0.3">
      <c r="A5" s="1">
        <v>104</v>
      </c>
      <c r="B5" s="1" t="s">
        <v>10</v>
      </c>
      <c r="C5" s="1" t="s">
        <v>11</v>
      </c>
      <c r="D5" s="1">
        <v>48000</v>
      </c>
    </row>
    <row r="6" spans="1:6" x14ac:dyDescent="0.3">
      <c r="A6" s="1">
        <v>105</v>
      </c>
      <c r="B6" s="1" t="s">
        <v>12</v>
      </c>
      <c r="C6" s="1" t="s">
        <v>13</v>
      </c>
      <c r="D6" s="1">
        <v>55000</v>
      </c>
    </row>
    <row r="8" spans="1:6" x14ac:dyDescent="0.3">
      <c r="A8" s="2" t="s">
        <v>14</v>
      </c>
      <c r="B8" s="2"/>
      <c r="C8" s="2"/>
      <c r="D8" s="2"/>
    </row>
    <row r="10" spans="1:6" x14ac:dyDescent="0.3">
      <c r="A10" s="3" t="s">
        <v>15</v>
      </c>
      <c r="B10" s="3" t="s">
        <v>1</v>
      </c>
      <c r="C10" s="3" t="s">
        <v>2</v>
      </c>
      <c r="D10" s="3" t="s">
        <v>3</v>
      </c>
    </row>
    <row r="11" spans="1:6" x14ac:dyDescent="0.3">
      <c r="A11" s="3">
        <v>103</v>
      </c>
      <c r="B11" s="3" t="str">
        <f>VLOOKUP(103,A2:D6,2,FALSE)</f>
        <v>NEHA</v>
      </c>
      <c r="C11" s="3" t="str">
        <f>VLOOKUP(103,A2:D6,3,FALSE)</f>
        <v>FINANCE</v>
      </c>
      <c r="D11" s="3">
        <f>VLOOKUP(103,A2:D6,4,FALSE)</f>
        <v>60000</v>
      </c>
    </row>
    <row r="12" spans="1:6" x14ac:dyDescent="0.3">
      <c r="A12" s="3">
        <v>105</v>
      </c>
      <c r="B12" s="3" t="str">
        <f>VLOOKUP(105,A2:D6,2,FALSE)</f>
        <v>MOHIT</v>
      </c>
      <c r="C12" s="3" t="str">
        <f>VLOOKUP(105,A2:D6,3,FALSE)</f>
        <v>SALES</v>
      </c>
      <c r="D12" s="3">
        <f>VLOOKUP(105,A2:D6,4,FALSE)</f>
        <v>55000</v>
      </c>
    </row>
    <row r="13" spans="1:6" x14ac:dyDescent="0.3">
      <c r="A13" s="3">
        <v>101</v>
      </c>
      <c r="B13" s="3" t="str">
        <f>VLOOKUP(101,A2:D6,2,FALSE)</f>
        <v>RAHUL</v>
      </c>
      <c r="C13" s="3" t="str">
        <f>VLOOKUP(101,A2:D6,3,FALSE)</f>
        <v>HR</v>
      </c>
      <c r="D13" s="3">
        <f>VLOOKUP(101,A2:D6,4,FALSE)</f>
        <v>45000</v>
      </c>
    </row>
    <row r="15" spans="1:6" x14ac:dyDescent="0.3">
      <c r="A15" s="4" t="s">
        <v>16</v>
      </c>
      <c r="B15" s="4"/>
      <c r="C15" s="4"/>
    </row>
    <row r="16" spans="1:6" x14ac:dyDescent="0.3">
      <c r="A16" s="5" t="s">
        <v>17</v>
      </c>
      <c r="B16" s="5"/>
      <c r="E16" s="6" t="s">
        <v>18</v>
      </c>
      <c r="F16" s="6"/>
    </row>
    <row r="17" spans="1:7" x14ac:dyDescent="0.3">
      <c r="A17" s="3" t="s">
        <v>19</v>
      </c>
      <c r="B17" s="3" t="s">
        <v>20</v>
      </c>
      <c r="C17" s="3" t="s">
        <v>21</v>
      </c>
      <c r="E17" s="3" t="s">
        <v>19</v>
      </c>
      <c r="F17" s="3" t="s">
        <v>20</v>
      </c>
      <c r="G17" s="3" t="s">
        <v>21</v>
      </c>
    </row>
    <row r="18" spans="1:7" x14ac:dyDescent="0.3">
      <c r="A18" s="3" t="s">
        <v>22</v>
      </c>
      <c r="B18" s="3" t="s">
        <v>23</v>
      </c>
      <c r="C18" s="3">
        <v>700</v>
      </c>
      <c r="E18" s="3" t="s">
        <v>24</v>
      </c>
      <c r="F18" s="3" t="str">
        <f>VLOOKUP(E18,$A$18:$C$22,2,FALSE)</f>
        <v>LAPTOP</v>
      </c>
      <c r="G18" s="3">
        <f t="shared" ref="G18:G20" si="0">VLOOKUP(E18,$A$18:$C$22,3,FALSE)</f>
        <v>50000</v>
      </c>
    </row>
    <row r="19" spans="1:7" x14ac:dyDescent="0.3">
      <c r="A19" s="3" t="s">
        <v>25</v>
      </c>
      <c r="B19" s="3" t="s">
        <v>26</v>
      </c>
      <c r="C19" s="3">
        <v>1200</v>
      </c>
      <c r="E19" s="3" t="s">
        <v>22</v>
      </c>
      <c r="F19" s="3" t="str">
        <f>VLOOKUP(E19,$A$18:$C$22,2,FALSE)</f>
        <v>MOUSE</v>
      </c>
      <c r="G19" s="3">
        <f t="shared" si="0"/>
        <v>700</v>
      </c>
    </row>
    <row r="20" spans="1:7" x14ac:dyDescent="0.3">
      <c r="A20" s="3" t="s">
        <v>27</v>
      </c>
      <c r="B20" s="3" t="s">
        <v>28</v>
      </c>
      <c r="C20" s="3">
        <v>8500</v>
      </c>
      <c r="E20" s="3" t="s">
        <v>29</v>
      </c>
      <c r="F20" s="3" t="str">
        <f>VLOOKUP(E20,$A$18:$C$22,2,FALSE)</f>
        <v>PRINTER</v>
      </c>
      <c r="G20" s="3">
        <f t="shared" si="0"/>
        <v>15000</v>
      </c>
    </row>
    <row r="21" spans="1:7" x14ac:dyDescent="0.3">
      <c r="A21" s="3" t="s">
        <v>24</v>
      </c>
      <c r="B21" s="3" t="s">
        <v>30</v>
      </c>
      <c r="C21" s="3">
        <v>50000</v>
      </c>
    </row>
    <row r="22" spans="1:7" x14ac:dyDescent="0.3">
      <c r="A22" s="3" t="s">
        <v>29</v>
      </c>
      <c r="B22" s="3" t="s">
        <v>31</v>
      </c>
      <c r="C22" s="3">
        <v>15000</v>
      </c>
    </row>
  </sheetData>
  <mergeCells count="4">
    <mergeCell ref="A8:D8"/>
    <mergeCell ref="A15:C15"/>
    <mergeCell ref="A16:B16"/>
    <mergeCell ref="E16:F1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2026-07-12T16:13:42Z</dcterms:created>
  <dcterms:modified xsi:type="dcterms:W3CDTF">2026-07-12T16:13:55Z</dcterms:modified>
</cp:coreProperties>
</file>