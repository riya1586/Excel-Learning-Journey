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\Downloads\"/>
    </mc:Choice>
  </mc:AlternateContent>
  <xr:revisionPtr revIDLastSave="0" documentId="8_{71F88D2E-1C24-4F7F-8874-843A9C4E908B}" xr6:coauthVersionLast="47" xr6:coauthVersionMax="47" xr10:uidLastSave="{00000000-0000-0000-0000-000000000000}"/>
  <bookViews>
    <workbookView xWindow="2820" yWindow="2820" windowWidth="17280" windowHeight="8880" xr2:uid="{3E160E74-B365-43E5-B2E3-FEBF736D439E}"/>
  </bookViews>
  <sheets>
    <sheet name="TEXT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" i="1" l="1"/>
  <c r="E50" i="1" s="1"/>
  <c r="B49" i="1"/>
  <c r="E49" i="1" s="1"/>
  <c r="B48" i="1"/>
  <c r="E48" i="1" s="1"/>
  <c r="B47" i="1"/>
  <c r="E47" i="1" s="1"/>
  <c r="B46" i="1"/>
  <c r="E46" i="1" s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B20" i="1"/>
  <c r="B19" i="1"/>
  <c r="B18" i="1"/>
  <c r="B17" i="1"/>
  <c r="B16" i="1"/>
  <c r="B13" i="1"/>
  <c r="B12" i="1"/>
  <c r="B11" i="1"/>
  <c r="B10" i="1"/>
  <c r="B9" i="1"/>
  <c r="B5" i="1"/>
  <c r="B4" i="1"/>
  <c r="B3" i="1"/>
  <c r="B2" i="1"/>
  <c r="C48" i="1" l="1"/>
  <c r="D48" i="1"/>
  <c r="C46" i="1"/>
  <c r="C49" i="1"/>
  <c r="D46" i="1"/>
  <c r="D49" i="1"/>
  <c r="C47" i="1"/>
  <c r="C50" i="1"/>
  <c r="D47" i="1"/>
  <c r="D50" i="1"/>
</calcChain>
</file>

<file path=xl/sharedStrings.xml><?xml version="1.0" encoding="utf-8"?>
<sst xmlns="http://schemas.openxmlformats.org/spreadsheetml/2006/main" count="52" uniqueCount="50">
  <si>
    <t>NAME</t>
  </si>
  <si>
    <t>RESULT LEN FUNCTION</t>
  </si>
  <si>
    <t>AMAN</t>
  </si>
  <si>
    <t>PRIYA</t>
  </si>
  <si>
    <t>MOHIT</t>
  </si>
  <si>
    <t>NEHA</t>
  </si>
  <si>
    <t>EMPLOYEE CODE</t>
  </si>
  <si>
    <t>RESULT LEFT FUNCTION</t>
  </si>
  <si>
    <t>HR102</t>
  </si>
  <si>
    <t>IT205</t>
  </si>
  <si>
    <t>FN305</t>
  </si>
  <si>
    <t>MK450</t>
  </si>
  <si>
    <t>SL555</t>
  </si>
  <si>
    <t>MOBILE NUMBER</t>
  </si>
  <si>
    <t>RESULT (RIGHT FUNCTION)</t>
  </si>
  <si>
    <t>CODE</t>
  </si>
  <si>
    <t>ANSWERS  (ONLY FIRST LETTER)</t>
  </si>
  <si>
    <t>RESULT (LAST 3 DIGIT)</t>
  </si>
  <si>
    <t>RESULT (TOTAL LENGTH)</t>
  </si>
  <si>
    <t>P101</t>
  </si>
  <si>
    <t>L205</t>
  </si>
  <si>
    <t>M333</t>
  </si>
  <si>
    <t>K444</t>
  </si>
  <si>
    <t>T555</t>
  </si>
  <si>
    <t>RESULT (MID FUNCTION)</t>
  </si>
  <si>
    <t>RESULT (FIND FUNCTION)</t>
  </si>
  <si>
    <t>RESULT (SEARCH FUNCTION)</t>
  </si>
  <si>
    <t>HR1025</t>
  </si>
  <si>
    <t>IT2030</t>
  </si>
  <si>
    <t>FN3055</t>
  </si>
  <si>
    <t>MK2467</t>
  </si>
  <si>
    <t>SL5678</t>
  </si>
  <si>
    <t>PRODUCT-NUMBER</t>
  </si>
  <si>
    <t>HYPHEN(-) POSITION</t>
  </si>
  <si>
    <t>CITY NAME</t>
  </si>
  <si>
    <t>P101-MUMBAI</t>
  </si>
  <si>
    <t>L205-MUMBAI</t>
  </si>
  <si>
    <t>M333-KANPUR</t>
  </si>
  <si>
    <t>K444-LUCKNOW</t>
  </si>
  <si>
    <t>T555-NOIDA</t>
  </si>
  <si>
    <t>RAW NAME</t>
  </si>
  <si>
    <t>TRIM FUNCTION</t>
  </si>
  <si>
    <t>UPPER FUNCTION</t>
  </si>
  <si>
    <t>LOWER FUNCTION</t>
  </si>
  <si>
    <t>PROPER FUNCTION</t>
  </si>
  <si>
    <t xml:space="preserve">rahul    tiwari    </t>
  </si>
  <si>
    <t>AMAN    SHARMA</t>
  </si>
  <si>
    <t>moHit kumAr</t>
  </si>
  <si>
    <t xml:space="preserve">PRIYA singh   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</si>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</sst>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textRotation="255"/>
    </xf>
    <xf numFmtId="0" fontId="0" fillId="0" borderId="0" xfId="0" applyAlignment="1">
      <alignment horizontal="center"/>
    </xf>
  </cellXfs>
  <cellStyles count="1">
    <cellStyle name="Normal" xfId="0" builtinId="0"/>
  </cellStyles>
  <dxfs count="3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81B6D-123E-43A0-AEAC-DD5B5D43C6A0}" name="Table29" displayName="Table29" ref="A1:B6" totalsRowShown="0" headerRowDxfId="30" dataDxfId="29">
  <autoFilter ref="A1:B6" xr:uid="{3B229FC1-C2AE-408A-A28F-C2E1269E5E6F}"/>
  <tableColumns count="2">
    <tableColumn id="1" xr3:uid="{06A9A4E1-12F3-4FF2-8A51-0D2C363C36DF}" name="NAME" dataDxfId="28"/>
    <tableColumn id="2" xr3:uid="{27127665-4444-40DB-9AD7-1A25D567F73F}" name="RESULT LEN FUNCTION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5DB783-D7B5-4FC3-83D3-BCFF945BA918}" name="Table31" displayName="Table31" ref="A8:B13" totalsRowShown="0" headerRowDxfId="26" dataDxfId="25">
  <autoFilter ref="A8:B13" xr:uid="{2EA4E158-E47E-4C0B-A152-B0DD6B42246D}"/>
  <tableColumns count="2">
    <tableColumn id="1" xr3:uid="{822BF357-B2E6-4B7D-B7E2-6DC091043DC6}" name="EMPLOYEE CODE" dataDxfId="24"/>
    <tableColumn id="2" xr3:uid="{9FB9EAE4-BCC5-41E7-A607-C41D217BA19C}" name="RESULT LEFT FUNCTION" dataDxfId="23">
      <calculatedColumnFormula>LEFT(A9,2)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5E4102-7A55-4E4C-B67B-2C542FC15A91}" name="Table32" displayName="Table32" ref="A15:B21" totalsRowShown="0" headerRowDxfId="22" dataDxfId="21">
  <autoFilter ref="A15:B21" xr:uid="{91D842C9-4F1C-40D1-B4E5-394BDF96F315}"/>
  <tableColumns count="2">
    <tableColumn id="1" xr3:uid="{02D5D69B-D5BA-4853-87D0-F33E1CF89706}" name="MOBILE NUMBER" dataDxfId="20"/>
    <tableColumn id="2" xr3:uid="{5C9F524E-F3B4-4EBC-BB10-8E9A30E136C0}" name="RESULT (RIGHT FUNCTION)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CA613E-D0C4-45B2-9FBE-E6CED2717DB7}" name="Table33" displayName="Table33" ref="A23:D28" totalsRowShown="0" headerRowDxfId="18" dataDxfId="17">
  <autoFilter ref="A23:D28" xr:uid="{3789C64F-7C61-4EED-91C2-DAB5536C909E}"/>
  <tableColumns count="4">
    <tableColumn id="1" xr3:uid="{E46A9A65-B3ED-4F0D-A958-07CC708D5398}" name="CODE" dataDxfId="16"/>
    <tableColumn id="2" xr3:uid="{DCBC8BA4-B14C-45A3-A360-1454F7E3A756}" name="ANSWERS  (ONLY FIRST LETTER)" dataDxfId="15">
      <calculatedColumnFormula>LEFT(A24,1)</calculatedColumnFormula>
    </tableColumn>
    <tableColumn id="3" xr3:uid="{A809C899-1DC6-4596-B134-BCC582096668}" name="RESULT (LAST 3 DIGIT)" dataDxfId="14">
      <calculatedColumnFormula>RIGHT(A24,3)</calculatedColumnFormula>
    </tableColumn>
    <tableColumn id="4" xr3:uid="{E2028A8D-ABA0-4763-BC7F-556D64B6E406}" name="RESULT (TOTAL LENGTH)" dataDxfId="13">
      <calculatedColumnFormula>LEN(A24)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74ED66-4C61-45BB-95A0-2B0E2D33F1D0}" name="Table34" displayName="Table34" ref="A30:D35" totalsRowShown="0">
  <autoFilter ref="A30:D35" xr:uid="{52EBEECE-94FF-4391-9F63-090A5416E2BF}"/>
  <tableColumns count="4">
    <tableColumn id="1" xr3:uid="{18CC618C-5D90-48EF-B1A5-FF599079A0FF}" name="EMPLOYEE CODE"/>
    <tableColumn id="2" xr3:uid="{6241781E-852F-48F1-8898-559260EDE8C8}" name="RESULT (MID FUNCTION)">
      <calculatedColumnFormula>MID(A31,3,4)</calculatedColumnFormula>
    </tableColumn>
    <tableColumn id="3" xr3:uid="{407B1518-A6C1-4912-B662-4EE4ABB02304}" name="RESULT (FIND FUNCTION)"/>
    <tableColumn id="4" xr3:uid="{2497C14F-CD75-4EEE-BFE1-4B1B62FC630B}" name="RESULT (SEARCH FUNCTION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1A5E58-0378-40A2-968C-9908948D757B}" name="Table35" displayName="Table35" ref="A37:D42" totalsRowShown="0" headerRowDxfId="12" dataDxfId="11">
  <autoFilter ref="A37:D42" xr:uid="{ABED270A-312D-43DA-96B2-146C1CB5A042}"/>
  <tableColumns count="4">
    <tableColumn id="1" xr3:uid="{62CA2C76-BB9D-4FBE-B18A-82D0E128E3E7}" name="CODE" dataDxfId="10"/>
    <tableColumn id="2" xr3:uid="{656F26C8-F7F4-4477-BD8F-9E272BDC0A70}" name="PRODUCT-NUMBER" dataDxfId="9">
      <calculatedColumnFormula>MID(A38,2,3)</calculatedColumnFormula>
    </tableColumn>
    <tableColumn id="3" xr3:uid="{4BC0C471-6703-4E54-B951-327165595DEB}" name="HYPHEN(-) POSITION" dataDxfId="8">
      <calculatedColumnFormula>FIND("-",A38)</calculatedColumnFormula>
    </tableColumn>
    <tableColumn id="4" xr3:uid="{07C3037E-E53A-4170-85D9-3808F7DF2632}" name="CITY NAME" dataDxfId="7">
      <calculatedColumnFormula>MID(A38,6,7)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9F1846-83DE-42A4-8210-BEDA303EF092}" name="Table36" displayName="Table36" ref="A45:E50" totalsRowShown="0" headerRowDxfId="6" dataDxfId="5">
  <autoFilter ref="A45:E50" xr:uid="{DD5DD6B3-A889-45A6-9357-83A28CAFEBB0}"/>
  <tableColumns count="5">
    <tableColumn id="1" xr3:uid="{0D63D655-183B-40EE-AFF1-AABF8EFC164C}" name="RAW NAME" dataDxfId="4"/>
    <tableColumn id="2" xr3:uid="{22899828-0C62-4123-A21F-BED91E11A1C2}" name="TRIM FUNCTION" dataDxfId="3">
      <calculatedColumnFormula>TRIM(A46)</calculatedColumnFormula>
    </tableColumn>
    <tableColumn id="3" xr3:uid="{A368D889-BDC5-41A9-8720-01FC80970714}" name="UPPER FUNCTION" dataDxfId="2">
      <calculatedColumnFormula>UPPER(B46)</calculatedColumnFormula>
    </tableColumn>
    <tableColumn id="4" xr3:uid="{1990C251-50AB-4C7D-A428-F6D727E519FE}" name="LOWER FUNCTION" dataDxfId="1">
      <calculatedColumnFormula>LOWER(B46)</calculatedColumnFormula>
    </tableColumn>
    <tableColumn id="5" xr3:uid="{1B634CAF-0176-449A-9FC1-E98508F7FACA}" name="PROPER FUNCTION" dataDxfId="0">
      <calculatedColumnFormula>PROPER(B46)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F7BD-B1D5-4961-9A09-1A99E173BA59}">
  <sheetPr codeName="Sheet12"/>
  <dimension ref="A1:H50"/>
  <sheetViews>
    <sheetView tabSelected="1" zoomScale="90" workbookViewId="0">
      <selection activeCell="C12" sqref="C12"/>
    </sheetView>
  </sheetViews>
  <sheetFormatPr defaultRowHeight="14.4" x14ac:dyDescent="0.3"/>
  <cols>
    <col min="1" max="1" width="21.6640625" bestFit="1" customWidth="1"/>
    <col min="2" max="2" width="34.109375" bestFit="1" customWidth="1"/>
    <col min="3" max="3" width="26.109375" customWidth="1"/>
    <col min="4" max="4" width="28.77734375" bestFit="1" customWidth="1"/>
    <col min="5" max="5" width="23.109375" bestFit="1" customWidth="1"/>
  </cols>
  <sheetData>
    <row r="1" spans="1:8" x14ac:dyDescent="0.3">
      <c r="A1" s="1" t="s">
        <v>0</v>
      </c>
      <c r="B1" s="1" t="s">
        <v>1</v>
      </c>
      <c r="C1" s="2"/>
      <c r="D1" s="2"/>
      <c r="E1" s="2"/>
    </row>
    <row r="2" spans="1:8" x14ac:dyDescent="0.3">
      <c r="A2" s="1" t="s">
        <v>2</v>
      </c>
      <c r="B2" s="1">
        <f>LEN(A2)</f>
        <v>4</v>
      </c>
      <c r="C2" s="2"/>
      <c r="D2" s="2"/>
      <c r="E2" s="2"/>
    </row>
    <row r="3" spans="1:8" x14ac:dyDescent="0.3">
      <c r="A3" s="1" t="s">
        <v>3</v>
      </c>
      <c r="B3" s="1">
        <f t="shared" ref="B3:B5" si="0">LEN(A3)</f>
        <v>5</v>
      </c>
      <c r="C3" s="2"/>
      <c r="D3" s="2"/>
      <c r="E3" s="2"/>
      <c r="H3" s="3"/>
    </row>
    <row r="4" spans="1:8" x14ac:dyDescent="0.3">
      <c r="A4" s="1" t="s">
        <v>4</v>
      </c>
      <c r="B4" s="1">
        <f t="shared" si="0"/>
        <v>5</v>
      </c>
      <c r="C4" s="2"/>
      <c r="D4" s="2"/>
      <c r="E4" s="2"/>
    </row>
    <row r="5" spans="1:8" x14ac:dyDescent="0.3">
      <c r="A5" s="1" t="s">
        <v>5</v>
      </c>
      <c r="B5" s="1">
        <f t="shared" si="0"/>
        <v>4</v>
      </c>
      <c r="C5" s="2"/>
      <c r="D5" s="2"/>
      <c r="E5" s="2"/>
    </row>
    <row r="6" spans="1:8" x14ac:dyDescent="0.3">
      <c r="A6" s="1"/>
      <c r="B6" s="1"/>
      <c r="C6" s="2"/>
      <c r="D6" s="2"/>
      <c r="E6" s="2"/>
    </row>
    <row r="8" spans="1:8" x14ac:dyDescent="0.3">
      <c r="A8" s="4" t="s">
        <v>6</v>
      </c>
      <c r="B8" s="4" t="s">
        <v>7</v>
      </c>
    </row>
    <row r="9" spans="1:8" x14ac:dyDescent="0.3">
      <c r="A9" s="4" t="s">
        <v>8</v>
      </c>
      <c r="B9" s="4" t="str">
        <f>LEFT(A9,2)</f>
        <v>HR</v>
      </c>
    </row>
    <row r="10" spans="1:8" x14ac:dyDescent="0.3">
      <c r="A10" s="4" t="s">
        <v>9</v>
      </c>
      <c r="B10" s="4" t="str">
        <f t="shared" ref="B10:B13" si="1">LEFT(A10,2)</f>
        <v>IT</v>
      </c>
    </row>
    <row r="11" spans="1:8" x14ac:dyDescent="0.3">
      <c r="A11" s="4" t="s">
        <v>10</v>
      </c>
      <c r="B11" s="4" t="str">
        <f t="shared" si="1"/>
        <v>FN</v>
      </c>
    </row>
    <row r="12" spans="1:8" x14ac:dyDescent="0.3">
      <c r="A12" s="4" t="s">
        <v>11</v>
      </c>
      <c r="B12" s="4" t="str">
        <f t="shared" si="1"/>
        <v>MK</v>
      </c>
    </row>
    <row r="13" spans="1:8" x14ac:dyDescent="0.3">
      <c r="A13" s="4" t="s">
        <v>12</v>
      </c>
      <c r="B13" s="4" t="str">
        <f t="shared" si="1"/>
        <v>SL</v>
      </c>
    </row>
    <row r="15" spans="1:8" x14ac:dyDescent="0.3">
      <c r="A15" s="4" t="s">
        <v>13</v>
      </c>
      <c r="B15" s="4" t="s">
        <v>14</v>
      </c>
    </row>
    <row r="16" spans="1:8" x14ac:dyDescent="0.3">
      <c r="A16" s="4">
        <v>9876543210</v>
      </c>
      <c r="B16" s="4" t="str">
        <f>RIGHT(A16,4)</f>
        <v>3210</v>
      </c>
    </row>
    <row r="17" spans="1:4" x14ac:dyDescent="0.3">
      <c r="A17" s="4">
        <v>9988776655</v>
      </c>
      <c r="B17" s="4" t="str">
        <f t="shared" ref="B17:B20" si="2">RIGHT(A17,4)</f>
        <v>6655</v>
      </c>
    </row>
    <row r="18" spans="1:4" x14ac:dyDescent="0.3">
      <c r="A18" s="4">
        <v>9123456789</v>
      </c>
      <c r="B18" s="4" t="str">
        <f t="shared" si="2"/>
        <v>6789</v>
      </c>
    </row>
    <row r="19" spans="1:4" x14ac:dyDescent="0.3">
      <c r="A19" s="4">
        <v>7012345678</v>
      </c>
      <c r="B19" s="4" t="str">
        <f t="shared" si="2"/>
        <v>5678</v>
      </c>
    </row>
    <row r="20" spans="1:4" x14ac:dyDescent="0.3">
      <c r="A20" s="4">
        <v>8888999900</v>
      </c>
      <c r="B20" s="4" t="str">
        <f t="shared" si="2"/>
        <v>9900</v>
      </c>
    </row>
    <row r="21" spans="1:4" x14ac:dyDescent="0.3">
      <c r="A21" s="4"/>
      <c r="B21" s="4"/>
    </row>
    <row r="23" spans="1:4" x14ac:dyDescent="0.3">
      <c r="A23" s="4" t="s">
        <v>15</v>
      </c>
      <c r="B23" s="4" t="s">
        <v>16</v>
      </c>
      <c r="C23" s="4" t="s">
        <v>17</v>
      </c>
      <c r="D23" s="4" t="s">
        <v>18</v>
      </c>
    </row>
    <row r="24" spans="1:4" x14ac:dyDescent="0.3">
      <c r="A24" s="4" t="s">
        <v>19</v>
      </c>
      <c r="B24" s="4" t="str">
        <f>LEFT(A24,1)</f>
        <v>P</v>
      </c>
      <c r="C24" s="4" t="str">
        <f>RIGHT(A24,3)</f>
        <v>101</v>
      </c>
      <c r="D24" s="4">
        <f>LEN(A24)</f>
        <v>4</v>
      </c>
    </row>
    <row r="25" spans="1:4" x14ac:dyDescent="0.3">
      <c r="A25" s="4" t="s">
        <v>20</v>
      </c>
      <c r="B25" s="4" t="str">
        <f t="shared" ref="B25:B28" si="3">LEFT(A25,1)</f>
        <v>L</v>
      </c>
      <c r="C25" s="4" t="str">
        <f t="shared" ref="C25:C28" si="4">RIGHT(A25,3)</f>
        <v>205</v>
      </c>
      <c r="D25" s="4">
        <f t="shared" ref="D25:D28" si="5">LEN(A25)</f>
        <v>4</v>
      </c>
    </row>
    <row r="26" spans="1:4" x14ac:dyDescent="0.3">
      <c r="A26" s="4" t="s">
        <v>21</v>
      </c>
      <c r="B26" s="4" t="str">
        <f t="shared" si="3"/>
        <v>M</v>
      </c>
      <c r="C26" s="4" t="str">
        <f t="shared" si="4"/>
        <v>333</v>
      </c>
      <c r="D26" s="4">
        <f t="shared" si="5"/>
        <v>4</v>
      </c>
    </row>
    <row r="27" spans="1:4" x14ac:dyDescent="0.3">
      <c r="A27" s="4" t="s">
        <v>22</v>
      </c>
      <c r="B27" s="4" t="str">
        <f t="shared" si="3"/>
        <v>K</v>
      </c>
      <c r="C27" s="4" t="str">
        <f t="shared" si="4"/>
        <v>444</v>
      </c>
      <c r="D27" s="4">
        <f t="shared" si="5"/>
        <v>4</v>
      </c>
    </row>
    <row r="28" spans="1:4" x14ac:dyDescent="0.3">
      <c r="A28" s="4" t="s">
        <v>23</v>
      </c>
      <c r="B28" s="4" t="str">
        <f t="shared" si="3"/>
        <v>T</v>
      </c>
      <c r="C28" s="4" t="str">
        <f t="shared" si="4"/>
        <v>555</v>
      </c>
      <c r="D28" s="4">
        <f t="shared" si="5"/>
        <v>4</v>
      </c>
    </row>
    <row r="30" spans="1:4" x14ac:dyDescent="0.3">
      <c r="A30" t="s">
        <v>6</v>
      </c>
      <c r="B30" t="s">
        <v>24</v>
      </c>
      <c r="C30" t="s">
        <v>25</v>
      </c>
      <c r="D30" t="s">
        <v>26</v>
      </c>
    </row>
    <row r="31" spans="1:4" x14ac:dyDescent="0.3">
      <c r="A31" t="s">
        <v>27</v>
      </c>
      <c r="B31" t="str">
        <f>MID(A31,3,4)</f>
        <v>1025</v>
      </c>
      <c r="C31">
        <f>FIND("H",A31)</f>
        <v>1</v>
      </c>
      <c r="D31">
        <f>SEARCH("r",A31)</f>
        <v>2</v>
      </c>
    </row>
    <row r="32" spans="1:4" x14ac:dyDescent="0.3">
      <c r="A32" t="s">
        <v>28</v>
      </c>
      <c r="B32" t="str">
        <f t="shared" ref="B32:B35" si="6">MID(A32,3,4)</f>
        <v>2030</v>
      </c>
      <c r="C32">
        <f>FIND("T",A32)</f>
        <v>2</v>
      </c>
      <c r="D32">
        <f>SEARCH("i",A32)</f>
        <v>1</v>
      </c>
    </row>
    <row r="33" spans="1:5" x14ac:dyDescent="0.3">
      <c r="A33" t="s">
        <v>29</v>
      </c>
      <c r="B33" t="str">
        <f t="shared" si="6"/>
        <v>3055</v>
      </c>
      <c r="C33">
        <f>FIND("N",A33)</f>
        <v>2</v>
      </c>
      <c r="D33">
        <f>SEARCH("n",A33)</f>
        <v>2</v>
      </c>
    </row>
    <row r="34" spans="1:5" x14ac:dyDescent="0.3">
      <c r="A34" t="s">
        <v>30</v>
      </c>
      <c r="B34" t="str">
        <f t="shared" si="6"/>
        <v>2467</v>
      </c>
      <c r="C34">
        <f>FIND("M",A34)</f>
        <v>1</v>
      </c>
      <c r="D34">
        <f>SEARCH("k",A34)</f>
        <v>2</v>
      </c>
    </row>
    <row r="35" spans="1:5" x14ac:dyDescent="0.3">
      <c r="A35" t="s">
        <v>31</v>
      </c>
      <c r="B35" t="str">
        <f t="shared" si="6"/>
        <v>5678</v>
      </c>
      <c r="C35">
        <f>FIND("L",A35)</f>
        <v>2</v>
      </c>
      <c r="D35">
        <f>SEARCH("s",A35)</f>
        <v>1</v>
      </c>
    </row>
    <row r="37" spans="1:5" x14ac:dyDescent="0.3">
      <c r="A37" s="4" t="s">
        <v>15</v>
      </c>
      <c r="B37" s="4" t="s">
        <v>32</v>
      </c>
      <c r="C37" s="4" t="s">
        <v>33</v>
      </c>
      <c r="D37" s="4" t="s">
        <v>34</v>
      </c>
    </row>
    <row r="38" spans="1:5" x14ac:dyDescent="0.3">
      <c r="A38" s="4" t="s">
        <v>35</v>
      </c>
      <c r="B38" s="4" t="str">
        <f>MID(A38,2,3)</f>
        <v>101</v>
      </c>
      <c r="C38" s="4">
        <f>FIND("-",A38)</f>
        <v>5</v>
      </c>
      <c r="D38" s="4" t="str">
        <f>MID(A38,6,7)</f>
        <v>MUMBAI</v>
      </c>
    </row>
    <row r="39" spans="1:5" x14ac:dyDescent="0.3">
      <c r="A39" s="4" t="s">
        <v>36</v>
      </c>
      <c r="B39" s="4" t="str">
        <f t="shared" ref="B39:B42" si="7">MID(A39,2,3)</f>
        <v>205</v>
      </c>
      <c r="C39" s="4">
        <f t="shared" ref="C39:C42" si="8">FIND("-",A39)</f>
        <v>5</v>
      </c>
      <c r="D39" s="4" t="str">
        <f t="shared" ref="D39:D42" si="9">MID(A39,6,7)</f>
        <v>MUMBAI</v>
      </c>
    </row>
    <row r="40" spans="1:5" x14ac:dyDescent="0.3">
      <c r="A40" s="4" t="s">
        <v>37</v>
      </c>
      <c r="B40" s="4" t="str">
        <f t="shared" si="7"/>
        <v>333</v>
      </c>
      <c r="C40" s="4">
        <f t="shared" si="8"/>
        <v>5</v>
      </c>
      <c r="D40" s="4" t="str">
        <f t="shared" si="9"/>
        <v>KANPUR</v>
      </c>
    </row>
    <row r="41" spans="1:5" x14ac:dyDescent="0.3">
      <c r="A41" s="4" t="s">
        <v>38</v>
      </c>
      <c r="B41" s="4" t="str">
        <f t="shared" si="7"/>
        <v>444</v>
      </c>
      <c r="C41" s="4">
        <f t="shared" si="8"/>
        <v>5</v>
      </c>
      <c r="D41" s="4" t="str">
        <f t="shared" si="9"/>
        <v>LUCKNOW</v>
      </c>
    </row>
    <row r="42" spans="1:5" x14ac:dyDescent="0.3">
      <c r="A42" s="4" t="s">
        <v>39</v>
      </c>
      <c r="B42" s="4" t="str">
        <f t="shared" si="7"/>
        <v>555</v>
      </c>
      <c r="C42" s="4">
        <f t="shared" si="8"/>
        <v>5</v>
      </c>
      <c r="D42" s="4" t="str">
        <f t="shared" si="9"/>
        <v>NOIDA</v>
      </c>
    </row>
    <row r="45" spans="1:5" x14ac:dyDescent="0.3">
      <c r="A45" s="4" t="s">
        <v>40</v>
      </c>
      <c r="B45" s="4" t="s">
        <v>41</v>
      </c>
      <c r="C45" s="4" t="s">
        <v>42</v>
      </c>
      <c r="D45" s="4" t="s">
        <v>43</v>
      </c>
      <c r="E45" s="4" t="s">
        <v>44</v>
      </c>
    </row>
    <row r="46" spans="1:5" x14ac:dyDescent="0.3">
      <c r="A46" s="4" t="s">
        <v>45</v>
      </c>
      <c r="B46" s="4" t="str">
        <f>TRIM(A46)</f>
        <v>rahul tiwari</v>
      </c>
      <c r="C46" s="4" t="str">
        <f>UPPER(B46)</f>
        <v>RAHUL TIWARI</v>
      </c>
      <c r="D46" s="4" t="str">
        <f>LOWER(B46)</f>
        <v>rahul tiwari</v>
      </c>
      <c r="E46" s="4" t="str">
        <f>PROPER(B46)</f>
        <v>Rahul Tiwari</v>
      </c>
    </row>
    <row r="47" spans="1:5" x14ac:dyDescent="0.3">
      <c r="A47" s="4" t="s">
        <v>46</v>
      </c>
      <c r="B47" s="4" t="str">
        <f t="shared" ref="B47:B50" si="10">TRIM(A47)</f>
        <v>AMAN SHARMA</v>
      </c>
      <c r="C47" s="4" t="str">
        <f t="shared" ref="C47:C50" si="11">UPPER(B47)</f>
        <v>AMAN SHARMA</v>
      </c>
      <c r="D47" s="4" t="str">
        <f t="shared" ref="D47:D50" si="12">LOWER(B47)</f>
        <v>aman sharma</v>
      </c>
      <c r="E47" s="4" t="str">
        <f t="shared" ref="E47:E50" si="13">PROPER(B47)</f>
        <v>Aman Sharma</v>
      </c>
    </row>
    <row r="48" spans="1:5" x14ac:dyDescent="0.3">
      <c r="A48" s="4" t="s">
        <v>47</v>
      </c>
      <c r="B48" s="4" t="str">
        <f t="shared" si="10"/>
        <v>moHit kumAr</v>
      </c>
      <c r="C48" s="4" t="str">
        <f t="shared" si="11"/>
        <v>MOHIT KUMAR</v>
      </c>
      <c r="D48" s="4" t="str">
        <f t="shared" si="12"/>
        <v>mohit kumar</v>
      </c>
      <c r="E48" s="4" t="str">
        <f t="shared" si="13"/>
        <v>Mohit Kumar</v>
      </c>
    </row>
    <row r="49" spans="1:5" x14ac:dyDescent="0.3">
      <c r="A49" s="4" t="s">
        <v>48</v>
      </c>
      <c r="B49" s="4" t="str">
        <f t="shared" si="10"/>
        <v>PRIYA singh</v>
      </c>
      <c r="C49" s="4" t="str">
        <f t="shared" si="11"/>
        <v>PRIYA SINGH</v>
      </c>
      <c r="D49" s="4" t="str">
        <f t="shared" si="12"/>
        <v>priya singh</v>
      </c>
      <c r="E49" s="4" t="str">
        <f t="shared" si="13"/>
        <v>Priya Singh</v>
      </c>
    </row>
    <row r="50" spans="1:5" x14ac:dyDescent="0.3">
      <c r="A50" s="4" t="s">
        <v>49</v>
      </c>
      <c r="B50" s="4" t="str">
        <f t="shared" si="10"/>
        <v>neHa</v>
      </c>
      <c r="C50" s="4" t="str">
        <f t="shared" si="11"/>
        <v>NEHA</v>
      </c>
      <c r="D50" s="4" t="str">
        <f t="shared" si="12"/>
        <v>neha</v>
      </c>
      <c r="E50" s="4" t="str">
        <f t="shared" si="13"/>
        <v>Neha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2026-07-12T16:15:27Z</dcterms:created>
  <dcterms:modified xsi:type="dcterms:W3CDTF">2026-07-12T16:15:36Z</dcterms:modified>
</cp:coreProperties>
</file>