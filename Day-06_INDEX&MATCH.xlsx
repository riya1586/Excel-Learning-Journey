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22859D6C-D07C-4FBB-9928-E6E77193AFBA}" xr6:coauthVersionLast="47" xr6:coauthVersionMax="47" xr10:uidLastSave="{00000000-0000-0000-0000-000000000000}"/>
  <bookViews>
    <workbookView xWindow="2820" yWindow="2820" windowWidth="17280" windowHeight="8880" xr2:uid="{C62353B3-A201-42AB-96CA-25A7BBB0B100}"/>
  </bookViews>
  <sheets>
    <sheet name="INDEX&amp;MATCH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F13" i="1"/>
  <c r="F12" i="1"/>
  <c r="F11" i="1"/>
  <c r="F10" i="1"/>
  <c r="F5" i="1"/>
  <c r="F4" i="1"/>
  <c r="F3" i="1"/>
  <c r="F2" i="1"/>
</calcChain>
</file>

<file path=xl/sharedStrings.xml><?xml version="1.0" encoding="utf-8"?>
<sst xmlns="http://schemas.openxmlformats.org/spreadsheetml/2006/main" count="49" uniqueCount="22">
  <si>
    <t>ID</t>
  </si>
  <si>
    <t>NAME</t>
  </si>
  <si>
    <t>SALARY</t>
  </si>
  <si>
    <t>ANS NO.</t>
  </si>
  <si>
    <t>RESULT</t>
  </si>
  <si>
    <t>RAHUL</t>
  </si>
  <si>
    <t>ANS-1</t>
  </si>
  <si>
    <t>AMAN</t>
  </si>
  <si>
    <t>ANS-2</t>
  </si>
  <si>
    <t>NEHA</t>
  </si>
  <si>
    <t>ANS-3</t>
  </si>
  <si>
    <t xml:space="preserve">PRIYA </t>
  </si>
  <si>
    <t>ANS-4</t>
  </si>
  <si>
    <t>MOHIT</t>
  </si>
  <si>
    <t>PRIYA</t>
  </si>
  <si>
    <t>INDEX + MATCH PRACTICE</t>
  </si>
  <si>
    <t>DEPARTMENT</t>
  </si>
  <si>
    <t>HR</t>
  </si>
  <si>
    <t>IT</t>
  </si>
  <si>
    <t>FINANCE</t>
  </si>
  <si>
    <t>MARKETING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</si>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</sst>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72C3B-55EE-4984-A9DC-E4D27FF1F2D0}" name="Table23" displayName="Table23" ref="A1:C6" totalsRowShown="0" headerRowDxfId="23" dataDxfId="22">
  <autoFilter ref="A1:C6" xr:uid="{DBC319D1-88E2-4F36-9004-25A617057ECE}"/>
  <tableColumns count="3">
    <tableColumn id="1" xr3:uid="{3073A82D-2E05-4C83-BC27-74E361BA40B7}" name="ID" dataDxfId="21"/>
    <tableColumn id="2" xr3:uid="{D338778A-81C1-4548-9142-2C2EDA673A1A}" name="NAME" dataDxfId="20"/>
    <tableColumn id="3" xr3:uid="{408CCB1F-9ECE-460F-BF39-0A23D545577C}" name="SALARY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BB8C2-9C74-4064-8915-2C781565897B}" name="Table24" displayName="Table24" ref="E1:F5" totalsRowShown="0" headerRowDxfId="18" dataDxfId="17">
  <autoFilter ref="E1:F5" xr:uid="{61D14526-7A8F-47AE-B967-2FD1B640B6DC}"/>
  <tableColumns count="2">
    <tableColumn id="1" xr3:uid="{5CB5843E-FBBF-4332-953E-8B3A3EF30D4B}" name="ANS NO." dataDxfId="16"/>
    <tableColumn id="2" xr3:uid="{4A3E8EFB-7BA8-4923-9449-AA27EDB10091}" name="RESULT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61D123-DB58-49B0-A391-9F33025716C8}" name="Table25" displayName="Table25" ref="A9:C14" totalsRowShown="0" headerRowDxfId="14" dataDxfId="13">
  <autoFilter ref="A9:C14" xr:uid="{ADF0A332-4306-42B0-9A4C-550D77BD17D5}"/>
  <tableColumns count="3">
    <tableColumn id="1" xr3:uid="{3109A423-6840-4071-A729-66CCEABBD987}" name="ID" dataDxfId="12"/>
    <tableColumn id="2" xr3:uid="{F93FCC64-CA08-4908-B468-93E763777E11}" name="NAME" dataDxfId="11"/>
    <tableColumn id="3" xr3:uid="{6C67AFAB-CC2C-4CB2-A693-8B1A49C3CFC5}" name="SALARY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A2F56E-48EF-46A2-8F3F-1504837E75E4}" name="Table26" displayName="Table26" ref="E9:F13" totalsRowShown="0">
  <autoFilter ref="E9:F13" xr:uid="{80396D71-CA59-4CB1-998C-A7395B0DC8A5}"/>
  <tableColumns count="2">
    <tableColumn id="1" xr3:uid="{2E5ACF7B-F76A-4A3F-8E1B-02C012DEEAC4}" name="ANS NO."/>
    <tableColumn id="2" xr3:uid="{A09D9B9D-0E43-44F4-9319-EA2835B47CB6}" name="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B295B3-4B30-4C46-8098-17DC1D185D9C}" name="Table27" displayName="Table27" ref="A19:D24" totalsRowShown="0" headerRowDxfId="9" dataDxfId="8">
  <autoFilter ref="A19:D24" xr:uid="{005CF8A8-E887-4199-9DC6-A951F1C7B73A}"/>
  <tableColumns count="4">
    <tableColumn id="1" xr3:uid="{119526BF-F183-4AEE-BE11-6EC84BC7AC34}" name="ID" dataDxfId="7"/>
    <tableColumn id="2" xr3:uid="{CF4E5BFF-DC26-45D9-847B-83E034DF1D52}" name="NAME" dataDxfId="6"/>
    <tableColumn id="3" xr3:uid="{C73114AA-449E-4AD4-9AB1-A911E8DF08AB}" name="DEPARTMENT" dataDxfId="5"/>
    <tableColumn id="4" xr3:uid="{9F8A1187-B209-4931-AEDE-99EB47200FBA}" name="SALARY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D8317B-15C7-43E8-8B05-CBD0020199E6}" name="Table28" displayName="Table28" ref="F19:G23" totalsRowShown="0" headerRowDxfId="3" dataDxfId="2">
  <autoFilter ref="F19:G23" xr:uid="{57C2E2A4-B1F7-4095-B497-412AFA53A695}"/>
  <tableColumns count="2">
    <tableColumn id="1" xr3:uid="{FF32F168-E451-4F9C-8A5D-8CC6A9C0AD5F}" name="ANS NO." dataDxfId="1"/>
    <tableColumn id="2" xr3:uid="{7BED8CFA-CDD3-458A-B931-F57B52CCE51A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73B5-43AB-4F70-922A-647DAC11E20E}">
  <sheetPr codeName="Sheet11"/>
  <dimension ref="A1:G24"/>
  <sheetViews>
    <sheetView tabSelected="1" workbookViewId="0">
      <selection activeCell="G21" sqref="G21"/>
    </sheetView>
  </sheetViews>
  <sheetFormatPr defaultRowHeight="14.4" x14ac:dyDescent="0.3"/>
  <cols>
    <col min="1" max="1" width="7.21875" bestFit="1" customWidth="1"/>
    <col min="2" max="2" width="10.77734375" bestFit="1" customWidth="1"/>
    <col min="3" max="3" width="17.21875" bestFit="1" customWidth="1"/>
    <col min="4" max="4" width="11.88671875" bestFit="1" customWidth="1"/>
    <col min="5" max="6" width="12.6640625" bestFit="1" customWidth="1"/>
    <col min="7" max="7" width="11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x14ac:dyDescent="0.3">
      <c r="A2" s="1">
        <v>101</v>
      </c>
      <c r="B2" s="1" t="s">
        <v>5</v>
      </c>
      <c r="C2" s="1">
        <v>45000</v>
      </c>
      <c r="E2" s="1" t="s">
        <v>6</v>
      </c>
      <c r="F2" s="1" t="str">
        <f>INDEX(A2:C6,1,2)</f>
        <v>RAHUL</v>
      </c>
    </row>
    <row r="3" spans="1:6" x14ac:dyDescent="0.3">
      <c r="A3" s="1">
        <v>102</v>
      </c>
      <c r="B3" s="1" t="s">
        <v>7</v>
      </c>
      <c r="C3" s="1">
        <v>52000</v>
      </c>
      <c r="E3" s="1" t="s">
        <v>8</v>
      </c>
      <c r="F3" s="1">
        <f>INDEX(A2:C6,3,3)</f>
        <v>60000</v>
      </c>
    </row>
    <row r="4" spans="1:6" x14ac:dyDescent="0.3">
      <c r="A4" s="1">
        <v>103</v>
      </c>
      <c r="B4" s="1" t="s">
        <v>9</v>
      </c>
      <c r="C4" s="1">
        <v>60000</v>
      </c>
      <c r="E4" s="1" t="s">
        <v>10</v>
      </c>
      <c r="F4" s="1">
        <f>INDEX(A2:C6,4,1)</f>
        <v>104</v>
      </c>
    </row>
    <row r="5" spans="1:6" x14ac:dyDescent="0.3">
      <c r="A5" s="1">
        <v>104</v>
      </c>
      <c r="B5" s="1" t="s">
        <v>11</v>
      </c>
      <c r="C5" s="1">
        <v>48000</v>
      </c>
      <c r="E5" s="1" t="s">
        <v>12</v>
      </c>
      <c r="F5" s="1" t="str">
        <f>INDEX(A2:C6,5,2)</f>
        <v>MOHIT</v>
      </c>
    </row>
    <row r="6" spans="1:6" x14ac:dyDescent="0.3">
      <c r="A6" s="1">
        <v>105</v>
      </c>
      <c r="B6" s="1" t="s">
        <v>13</v>
      </c>
      <c r="C6" s="1">
        <v>55000</v>
      </c>
    </row>
    <row r="9" spans="1:6" x14ac:dyDescent="0.3">
      <c r="A9" s="1" t="s">
        <v>0</v>
      </c>
      <c r="B9" s="1" t="s">
        <v>1</v>
      </c>
      <c r="C9" s="1" t="s">
        <v>2</v>
      </c>
      <c r="E9" t="s">
        <v>3</v>
      </c>
      <c r="F9" t="s">
        <v>4</v>
      </c>
    </row>
    <row r="10" spans="1:6" x14ac:dyDescent="0.3">
      <c r="A10" s="1">
        <v>101</v>
      </c>
      <c r="B10" s="1" t="s">
        <v>5</v>
      </c>
      <c r="C10" s="1">
        <v>45000</v>
      </c>
      <c r="E10" t="s">
        <v>6</v>
      </c>
      <c r="F10">
        <f>MATCH("RAHUL",B10:B14,0)</f>
        <v>1</v>
      </c>
    </row>
    <row r="11" spans="1:6" x14ac:dyDescent="0.3">
      <c r="A11" s="1">
        <v>102</v>
      </c>
      <c r="B11" s="1" t="s">
        <v>7</v>
      </c>
      <c r="C11" s="1">
        <v>52000</v>
      </c>
      <c r="E11" t="s">
        <v>8</v>
      </c>
      <c r="F11">
        <f>MATCH("MOHIT",B10:B14,0)</f>
        <v>5</v>
      </c>
    </row>
    <row r="12" spans="1:6" x14ac:dyDescent="0.3">
      <c r="A12" s="1">
        <v>103</v>
      </c>
      <c r="B12" s="1" t="s">
        <v>9</v>
      </c>
      <c r="C12" s="1">
        <v>60000</v>
      </c>
      <c r="E12" t="s">
        <v>10</v>
      </c>
      <c r="F12">
        <f>MATCH(103,A10:A14,0)</f>
        <v>3</v>
      </c>
    </row>
    <row r="13" spans="1:6" x14ac:dyDescent="0.3">
      <c r="A13" s="1">
        <v>104</v>
      </c>
      <c r="B13" s="1" t="s">
        <v>14</v>
      </c>
      <c r="C13" s="1">
        <v>48000</v>
      </c>
      <c r="E13" t="s">
        <v>12</v>
      </c>
      <c r="F13">
        <f>MATCH(48000,C10:C14,0)</f>
        <v>4</v>
      </c>
    </row>
    <row r="14" spans="1:6" x14ac:dyDescent="0.3">
      <c r="A14" s="1">
        <v>105</v>
      </c>
      <c r="B14" s="1" t="s">
        <v>13</v>
      </c>
      <c r="C14" s="1">
        <v>55000</v>
      </c>
    </row>
    <row r="17" spans="1:7" x14ac:dyDescent="0.3">
      <c r="C17" s="2" t="s">
        <v>15</v>
      </c>
      <c r="D17" s="2"/>
      <c r="E17" s="2"/>
    </row>
    <row r="19" spans="1:7" x14ac:dyDescent="0.3">
      <c r="A19" s="1" t="s">
        <v>0</v>
      </c>
      <c r="B19" s="1" t="s">
        <v>1</v>
      </c>
      <c r="C19" s="1" t="s">
        <v>16</v>
      </c>
      <c r="D19" s="1" t="s">
        <v>2</v>
      </c>
      <c r="F19" s="1" t="s">
        <v>3</v>
      </c>
      <c r="G19" s="1" t="s">
        <v>4</v>
      </c>
    </row>
    <row r="20" spans="1:7" x14ac:dyDescent="0.3">
      <c r="A20" s="1">
        <v>101</v>
      </c>
      <c r="B20" s="1" t="s">
        <v>5</v>
      </c>
      <c r="C20" s="1" t="s">
        <v>17</v>
      </c>
      <c r="D20" s="1">
        <v>45000</v>
      </c>
      <c r="F20" s="1" t="s">
        <v>6</v>
      </c>
      <c r="G20" s="1">
        <f>INDEX(D20:D24, MATCH(104,A20:A24,0))</f>
        <v>48000</v>
      </c>
    </row>
    <row r="21" spans="1:7" x14ac:dyDescent="0.3">
      <c r="A21" s="1">
        <v>102</v>
      </c>
      <c r="B21" s="1" t="s">
        <v>7</v>
      </c>
      <c r="C21" s="1" t="s">
        <v>18</v>
      </c>
      <c r="D21" s="1">
        <v>52000</v>
      </c>
      <c r="F21" s="1" t="s">
        <v>8</v>
      </c>
      <c r="G21" s="1" t="str">
        <f>INDEX(C20:C24,MATCH(102,A20:A24,0))</f>
        <v>IT</v>
      </c>
    </row>
    <row r="22" spans="1:7" x14ac:dyDescent="0.3">
      <c r="A22" s="1">
        <v>103</v>
      </c>
      <c r="B22" s="1" t="s">
        <v>9</v>
      </c>
      <c r="C22" s="1" t="s">
        <v>19</v>
      </c>
      <c r="D22" s="1">
        <v>60000</v>
      </c>
      <c r="F22" s="1" t="s">
        <v>10</v>
      </c>
      <c r="G22" s="1" t="str">
        <f>INDEX(B20:B24,MATCH(105,A20:A24,0))</f>
        <v>MOHIT</v>
      </c>
    </row>
    <row r="23" spans="1:7" x14ac:dyDescent="0.3">
      <c r="A23" s="1">
        <v>104</v>
      </c>
      <c r="B23" s="1" t="s">
        <v>14</v>
      </c>
      <c r="C23" s="1" t="s">
        <v>20</v>
      </c>
      <c r="D23" s="1">
        <v>48000</v>
      </c>
      <c r="F23" s="1" t="s">
        <v>12</v>
      </c>
      <c r="G23" s="1">
        <f>INDEX(D20:D24,MATCH("NEHA",B20:B24,0))</f>
        <v>60000</v>
      </c>
    </row>
    <row r="24" spans="1:7" x14ac:dyDescent="0.3">
      <c r="A24" s="1">
        <v>105</v>
      </c>
      <c r="B24" s="1" t="s">
        <v>13</v>
      </c>
      <c r="C24" s="1" t="s">
        <v>21</v>
      </c>
      <c r="D24" s="1">
        <v>55000</v>
      </c>
    </row>
  </sheetData>
  <mergeCells count="1">
    <mergeCell ref="C17:E17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INDEX&amp;MATCH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2026-07-12T16:14:52Z</dcterms:created>
  <dcterms:modified xsi:type="dcterms:W3CDTF">2026-07-12T16:15:10Z</dcterms:modified>
</cp:coreProperties>
</file>